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Volumes/Extreme Pro/GitHub-Repositories/bioinformatics-modules/bio204/Lab1-human-genotyping/Data/"/>
    </mc:Choice>
  </mc:AlternateContent>
  <xr:revisionPtr revIDLastSave="0" documentId="13_ncr:1_{4DF572AA-FB54-7A47-B6D9-D629BCC02FE7}" xr6:coauthVersionLast="47" xr6:coauthVersionMax="47" xr10:uidLastSave="{00000000-0000-0000-0000-000000000000}"/>
  <bookViews>
    <workbookView xWindow="0" yWindow="660" windowWidth="29400" windowHeight="16940" activeTab="2" xr2:uid="{00000000-000D-0000-FFFF-FFFF00000000}"/>
  </bookViews>
  <sheets>
    <sheet name="Statistics" sheetId="1" r:id="rId1"/>
    <sheet name="Summary" sheetId="3" r:id="rId2"/>
    <sheet name="Calcula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7" i="4"/>
  <c r="F2" i="3"/>
  <c r="B1" i="4"/>
  <c r="B3" i="4" s="1"/>
  <c r="F3" i="3"/>
  <c r="E3" i="3"/>
  <c r="D3" i="3"/>
  <c r="C3" i="3"/>
  <c r="B3" i="3"/>
  <c r="D2" i="3" l="1"/>
  <c r="B2" i="3"/>
  <c r="B8" i="4"/>
  <c r="C2" i="3"/>
  <c r="B5" i="4"/>
  <c r="B9" i="4"/>
  <c r="G3" i="3"/>
  <c r="B10" i="4" l="1"/>
</calcChain>
</file>

<file path=xl/sharedStrings.xml><?xml version="1.0" encoding="utf-8"?>
<sst xmlns="http://schemas.openxmlformats.org/spreadsheetml/2006/main" count="456" uniqueCount="28">
  <si>
    <t>Time</t>
  </si>
  <si>
    <t>Group</t>
  </si>
  <si>
    <t>Sample</t>
  </si>
  <si>
    <t>Genotype</t>
  </si>
  <si>
    <t>Wen</t>
  </si>
  <si>
    <t>Thu</t>
  </si>
  <si>
    <t>100/400</t>
  </si>
  <si>
    <t>400/400</t>
  </si>
  <si>
    <t>100/100</t>
  </si>
  <si>
    <t>Unclear</t>
  </si>
  <si>
    <t>100/100</t>
    <phoneticPr fontId="2" type="noConversion"/>
  </si>
  <si>
    <t>Expected</t>
    <phoneticPr fontId="2" type="noConversion"/>
  </si>
  <si>
    <t>Observed</t>
    <phoneticPr fontId="2" type="noConversion"/>
  </si>
  <si>
    <t>Total</t>
    <phoneticPr fontId="2" type="noConversion"/>
  </si>
  <si>
    <t>Dropped</t>
    <phoneticPr fontId="2" type="noConversion"/>
  </si>
  <si>
    <t>Validated Samples</t>
    <phoneticPr fontId="2" type="noConversion"/>
  </si>
  <si>
    <t>Population</t>
    <phoneticPr fontId="2" type="noConversion"/>
  </si>
  <si>
    <t>Allele Frequency Sum</t>
    <phoneticPr fontId="2" type="noConversion"/>
  </si>
  <si>
    <t>NA</t>
    <phoneticPr fontId="2" type="noConversion"/>
  </si>
  <si>
    <t>100/100 (N_11)</t>
    <phoneticPr fontId="2" type="noConversion"/>
  </si>
  <si>
    <t>100/400 (N_41)</t>
    <phoneticPr fontId="2" type="noConversion"/>
  </si>
  <si>
    <t>400/400 (N_44)</t>
    <phoneticPr fontId="2" type="noConversion"/>
  </si>
  <si>
    <t>Allele Frequency for 100 (q)</t>
    <phoneticPr fontId="2" type="noConversion"/>
  </si>
  <si>
    <t>Allele Frequency for 400 (p)</t>
    <phoneticPr fontId="2" type="noConversion"/>
  </si>
  <si>
    <t>Genotype Frequency for 100/100 (q^2)</t>
    <phoneticPr fontId="2" type="noConversion"/>
  </si>
  <si>
    <t>Genotype Frequency for 400/400 (p^2)</t>
    <phoneticPr fontId="2" type="noConversion"/>
  </si>
  <si>
    <t>Genotype Frequency Sum (2pq)</t>
    <phoneticPr fontId="2" type="noConversion"/>
  </si>
  <si>
    <t>Genotype Frequency for 100/400 (2pq)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</si>
</sst>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otypeTable" displayName="GenotypeTable" ref="A1:D218">
  <autoFilter ref="A1:D218" xr:uid="{00000000-0009-0000-0100-000001000000}"/>
  <tableColumns count="4">
    <tableColumn id="1" xr3:uid="{00000000-0010-0000-0000-000001000000}" name="Time"/>
    <tableColumn id="2" xr3:uid="{00000000-0010-0000-0000-000002000000}" name="Group"/>
    <tableColumn id="3" xr3:uid="{00000000-0010-0000-0000-000003000000}" name="Sample"/>
    <tableColumn id="4" xr3:uid="{00000000-0010-0000-0000-000004000000}" name="Geno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zoomScale="173" workbookViewId="0">
      <pane ySplit="1" topLeftCell="A19" activePane="bottomLeft" state="frozen"/>
      <selection pane="bottomLeft" activeCell="A13" sqref="A13"/>
    </sheetView>
  </sheetViews>
  <sheetFormatPr baseColWidth="10" defaultColWidth="8.83203125" defaultRowHeight="14"/>
  <cols>
    <col min="1" max="1" width="12" customWidth="1"/>
    <col min="2" max="3" width="10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</v>
      </c>
      <c r="C2" s="2">
        <v>1</v>
      </c>
      <c r="D2" t="s">
        <v>6</v>
      </c>
    </row>
    <row r="3" spans="1:4">
      <c r="A3" s="2" t="s">
        <v>4</v>
      </c>
      <c r="B3" s="2">
        <v>1</v>
      </c>
      <c r="C3" s="2">
        <v>2</v>
      </c>
      <c r="D3" t="s">
        <v>9</v>
      </c>
    </row>
    <row r="4" spans="1:4">
      <c r="A4" s="2" t="s">
        <v>4</v>
      </c>
      <c r="B4" s="2">
        <v>1</v>
      </c>
      <c r="C4" s="2">
        <v>3</v>
      </c>
      <c r="D4" t="s">
        <v>7</v>
      </c>
    </row>
    <row r="5" spans="1:4">
      <c r="A5" s="2" t="s">
        <v>4</v>
      </c>
      <c r="B5" s="2">
        <v>2</v>
      </c>
      <c r="C5" s="2">
        <v>1</v>
      </c>
      <c r="D5" t="s">
        <v>6</v>
      </c>
    </row>
    <row r="6" spans="1:4">
      <c r="A6" s="2" t="s">
        <v>4</v>
      </c>
      <c r="B6" s="2">
        <v>2</v>
      </c>
      <c r="C6" s="2">
        <v>2</v>
      </c>
      <c r="D6" t="s">
        <v>8</v>
      </c>
    </row>
    <row r="7" spans="1:4">
      <c r="A7" s="2" t="s">
        <v>4</v>
      </c>
      <c r="B7" s="2">
        <v>2</v>
      </c>
      <c r="C7" s="2">
        <v>3</v>
      </c>
      <c r="D7" t="s">
        <v>6</v>
      </c>
    </row>
    <row r="8" spans="1:4">
      <c r="A8" s="2" t="s">
        <v>4</v>
      </c>
      <c r="B8" s="2">
        <v>3</v>
      </c>
      <c r="C8" s="2">
        <v>1</v>
      </c>
      <c r="D8" t="s">
        <v>6</v>
      </c>
    </row>
    <row r="9" spans="1:4">
      <c r="A9" s="2" t="s">
        <v>4</v>
      </c>
      <c r="B9" s="2">
        <v>3</v>
      </c>
      <c r="C9" s="2">
        <v>2</v>
      </c>
      <c r="D9" t="s">
        <v>7</v>
      </c>
    </row>
    <row r="10" spans="1:4">
      <c r="A10" s="2" t="s">
        <v>4</v>
      </c>
      <c r="B10" s="2">
        <v>3</v>
      </c>
      <c r="C10" s="2">
        <v>3</v>
      </c>
      <c r="D10" t="s">
        <v>6</v>
      </c>
    </row>
    <row r="11" spans="1:4">
      <c r="A11" s="2" t="s">
        <v>4</v>
      </c>
      <c r="B11" s="2">
        <v>4</v>
      </c>
      <c r="C11" s="2">
        <v>1</v>
      </c>
      <c r="D11" t="s">
        <v>6</v>
      </c>
    </row>
    <row r="12" spans="1:4">
      <c r="A12" s="2" t="s">
        <v>4</v>
      </c>
      <c r="B12" s="2">
        <v>4</v>
      </c>
      <c r="C12" s="2">
        <v>2</v>
      </c>
      <c r="D12" t="s">
        <v>7</v>
      </c>
    </row>
    <row r="13" spans="1:4">
      <c r="A13" s="2" t="s">
        <v>4</v>
      </c>
      <c r="B13" s="2">
        <v>4</v>
      </c>
      <c r="C13" s="2">
        <v>3</v>
      </c>
      <c r="D13" t="s">
        <v>8</v>
      </c>
    </row>
    <row r="14" spans="1:4">
      <c r="A14" s="2" t="s">
        <v>4</v>
      </c>
      <c r="B14" s="2">
        <v>5</v>
      </c>
      <c r="C14" s="2">
        <v>1</v>
      </c>
      <c r="D14" t="s">
        <v>7</v>
      </c>
    </row>
    <row r="15" spans="1:4">
      <c r="A15" s="2" t="s">
        <v>4</v>
      </c>
      <c r="B15" s="2">
        <v>5</v>
      </c>
      <c r="C15" s="2">
        <v>2</v>
      </c>
      <c r="D15" t="s">
        <v>6</v>
      </c>
    </row>
    <row r="16" spans="1:4">
      <c r="A16" s="2" t="s">
        <v>4</v>
      </c>
      <c r="B16" s="2">
        <v>5</v>
      </c>
      <c r="C16" s="2">
        <v>3</v>
      </c>
      <c r="D16" t="s">
        <v>6</v>
      </c>
    </row>
    <row r="17" spans="1:4">
      <c r="A17" s="2" t="s">
        <v>4</v>
      </c>
      <c r="B17" s="2">
        <v>6</v>
      </c>
      <c r="C17" s="2">
        <v>1</v>
      </c>
      <c r="D17" t="s">
        <v>7</v>
      </c>
    </row>
    <row r="18" spans="1:4">
      <c r="A18" s="2" t="s">
        <v>4</v>
      </c>
      <c r="B18" s="2">
        <v>6</v>
      </c>
      <c r="C18" s="2">
        <v>2</v>
      </c>
      <c r="D18" t="s">
        <v>7</v>
      </c>
    </row>
    <row r="19" spans="1:4">
      <c r="A19" s="2" t="s">
        <v>4</v>
      </c>
      <c r="B19" s="2">
        <v>6</v>
      </c>
      <c r="C19" s="2">
        <v>3</v>
      </c>
      <c r="D19" t="s">
        <v>6</v>
      </c>
    </row>
    <row r="20" spans="1:4">
      <c r="A20" s="2" t="s">
        <v>4</v>
      </c>
      <c r="B20" s="2">
        <v>7</v>
      </c>
      <c r="C20" s="2">
        <v>1</v>
      </c>
      <c r="D20" t="s">
        <v>6</v>
      </c>
    </row>
    <row r="21" spans="1:4">
      <c r="A21" s="2" t="s">
        <v>4</v>
      </c>
      <c r="B21" s="2">
        <v>7</v>
      </c>
      <c r="C21" s="2">
        <v>2</v>
      </c>
      <c r="D21" t="s">
        <v>8</v>
      </c>
    </row>
    <row r="22" spans="1:4">
      <c r="A22" s="2" t="s">
        <v>4</v>
      </c>
      <c r="B22" s="2">
        <v>7</v>
      </c>
      <c r="C22" s="2">
        <v>3</v>
      </c>
      <c r="D22" t="s">
        <v>6</v>
      </c>
    </row>
    <row r="23" spans="1:4">
      <c r="A23" s="2" t="s">
        <v>4</v>
      </c>
      <c r="B23" s="2">
        <v>8</v>
      </c>
      <c r="C23" s="2">
        <v>1</v>
      </c>
      <c r="D23" t="s">
        <v>8</v>
      </c>
    </row>
    <row r="24" spans="1:4">
      <c r="A24" s="2" t="s">
        <v>4</v>
      </c>
      <c r="B24" s="2">
        <v>8</v>
      </c>
      <c r="C24" s="2">
        <v>2</v>
      </c>
      <c r="D24" t="s">
        <v>7</v>
      </c>
    </row>
    <row r="25" spans="1:4">
      <c r="A25" s="2" t="s">
        <v>4</v>
      </c>
      <c r="B25" s="2">
        <v>8</v>
      </c>
      <c r="C25" s="2">
        <v>3</v>
      </c>
      <c r="D25" t="s">
        <v>6</v>
      </c>
    </row>
    <row r="26" spans="1:4">
      <c r="A26" s="2" t="s">
        <v>4</v>
      </c>
      <c r="B26" s="2">
        <v>9</v>
      </c>
      <c r="C26" s="2">
        <v>1</v>
      </c>
      <c r="D26" t="s">
        <v>9</v>
      </c>
    </row>
    <row r="27" spans="1:4">
      <c r="A27" s="2" t="s">
        <v>4</v>
      </c>
      <c r="B27" s="2">
        <v>9</v>
      </c>
      <c r="C27" s="2">
        <v>2</v>
      </c>
      <c r="D27" t="s">
        <v>7</v>
      </c>
    </row>
    <row r="28" spans="1:4">
      <c r="A28" s="2" t="s">
        <v>4</v>
      </c>
      <c r="B28" s="2">
        <v>9</v>
      </c>
      <c r="C28" s="2">
        <v>3</v>
      </c>
      <c r="D28" t="s">
        <v>6</v>
      </c>
    </row>
    <row r="29" spans="1:4">
      <c r="A29" s="2" t="s">
        <v>4</v>
      </c>
      <c r="B29" s="2">
        <v>10</v>
      </c>
      <c r="C29" s="2">
        <v>1</v>
      </c>
      <c r="D29" t="s">
        <v>8</v>
      </c>
    </row>
    <row r="30" spans="1:4">
      <c r="A30" s="2" t="s">
        <v>4</v>
      </c>
      <c r="B30" s="2">
        <v>10</v>
      </c>
      <c r="C30" s="2">
        <v>2</v>
      </c>
      <c r="D30" t="s">
        <v>6</v>
      </c>
    </row>
    <row r="31" spans="1:4">
      <c r="A31" s="2" t="s">
        <v>4</v>
      </c>
      <c r="B31" s="2">
        <v>10</v>
      </c>
      <c r="C31" s="2">
        <v>3</v>
      </c>
      <c r="D31" t="s">
        <v>7</v>
      </c>
    </row>
    <row r="32" spans="1:4">
      <c r="A32" s="2" t="s">
        <v>4</v>
      </c>
      <c r="B32" s="2">
        <v>11</v>
      </c>
      <c r="C32" s="2">
        <v>1</v>
      </c>
      <c r="D32" t="s">
        <v>6</v>
      </c>
    </row>
    <row r="33" spans="1:4">
      <c r="A33" s="2" t="s">
        <v>4</v>
      </c>
      <c r="B33" s="2">
        <v>11</v>
      </c>
      <c r="C33" s="2">
        <v>2</v>
      </c>
      <c r="D33" t="s">
        <v>8</v>
      </c>
    </row>
    <row r="34" spans="1:4">
      <c r="A34" s="2" t="s">
        <v>4</v>
      </c>
      <c r="B34" s="2">
        <v>11</v>
      </c>
      <c r="C34" s="2">
        <v>3</v>
      </c>
      <c r="D34" t="s">
        <v>6</v>
      </c>
    </row>
    <row r="35" spans="1:4">
      <c r="A35" s="2" t="s">
        <v>4</v>
      </c>
      <c r="B35" s="2">
        <v>12</v>
      </c>
      <c r="C35" s="2">
        <v>1</v>
      </c>
      <c r="D35" t="s">
        <v>7</v>
      </c>
    </row>
    <row r="36" spans="1:4">
      <c r="A36" s="2" t="s">
        <v>4</v>
      </c>
      <c r="B36" s="2">
        <v>12</v>
      </c>
      <c r="C36" s="2">
        <v>2</v>
      </c>
      <c r="D36" t="s">
        <v>7</v>
      </c>
    </row>
    <row r="37" spans="1:4">
      <c r="A37" s="2" t="s">
        <v>4</v>
      </c>
      <c r="B37" s="2">
        <v>12</v>
      </c>
      <c r="C37" s="2">
        <v>3</v>
      </c>
      <c r="D37" t="s">
        <v>6</v>
      </c>
    </row>
    <row r="38" spans="1:4">
      <c r="A38" s="2" t="s">
        <v>4</v>
      </c>
      <c r="B38" s="2">
        <v>13</v>
      </c>
      <c r="C38" s="2">
        <v>1</v>
      </c>
      <c r="D38" t="s">
        <v>6</v>
      </c>
    </row>
    <row r="39" spans="1:4">
      <c r="A39" s="2" t="s">
        <v>4</v>
      </c>
      <c r="B39" s="2">
        <v>13</v>
      </c>
      <c r="C39" s="2">
        <v>2</v>
      </c>
      <c r="D39" t="s">
        <v>7</v>
      </c>
    </row>
    <row r="40" spans="1:4">
      <c r="A40" s="2" t="s">
        <v>4</v>
      </c>
      <c r="B40" s="2">
        <v>13</v>
      </c>
      <c r="C40" s="2">
        <v>3</v>
      </c>
      <c r="D40" t="s">
        <v>6</v>
      </c>
    </row>
    <row r="41" spans="1:4">
      <c r="A41" s="2" t="s">
        <v>4</v>
      </c>
      <c r="B41" s="2">
        <v>14</v>
      </c>
      <c r="C41" s="2">
        <v>1</v>
      </c>
      <c r="D41" t="s">
        <v>6</v>
      </c>
    </row>
    <row r="42" spans="1:4">
      <c r="A42" s="2" t="s">
        <v>4</v>
      </c>
      <c r="B42" s="2">
        <v>14</v>
      </c>
      <c r="C42" s="2">
        <v>2</v>
      </c>
      <c r="D42" t="s">
        <v>7</v>
      </c>
    </row>
    <row r="43" spans="1:4">
      <c r="A43" s="2" t="s">
        <v>4</v>
      </c>
      <c r="B43" s="2">
        <v>14</v>
      </c>
      <c r="C43" s="2">
        <v>3</v>
      </c>
      <c r="D43" t="s">
        <v>8</v>
      </c>
    </row>
    <row r="44" spans="1:4">
      <c r="A44" s="2" t="s">
        <v>4</v>
      </c>
      <c r="B44" s="2">
        <v>15</v>
      </c>
      <c r="C44" s="2">
        <v>1</v>
      </c>
      <c r="D44" t="s">
        <v>7</v>
      </c>
    </row>
    <row r="45" spans="1:4">
      <c r="A45" s="2" t="s">
        <v>4</v>
      </c>
      <c r="B45" s="2">
        <v>15</v>
      </c>
      <c r="C45" s="2">
        <v>2</v>
      </c>
      <c r="D45" t="s">
        <v>8</v>
      </c>
    </row>
    <row r="46" spans="1:4">
      <c r="A46" s="2" t="s">
        <v>4</v>
      </c>
      <c r="B46" s="2">
        <v>15</v>
      </c>
      <c r="C46" s="2">
        <v>3</v>
      </c>
      <c r="D46" t="s">
        <v>8</v>
      </c>
    </row>
    <row r="47" spans="1:4">
      <c r="A47" s="2" t="s">
        <v>4</v>
      </c>
      <c r="B47" s="2">
        <v>16</v>
      </c>
      <c r="C47" s="2">
        <v>1</v>
      </c>
      <c r="D47" t="s">
        <v>7</v>
      </c>
    </row>
    <row r="48" spans="1:4">
      <c r="A48" s="2" t="s">
        <v>4</v>
      </c>
      <c r="B48" s="2">
        <v>16</v>
      </c>
      <c r="C48" s="2">
        <v>2</v>
      </c>
      <c r="D48" t="s">
        <v>6</v>
      </c>
    </row>
    <row r="49" spans="1:4">
      <c r="A49" s="2" t="s">
        <v>4</v>
      </c>
      <c r="B49" s="2">
        <v>16</v>
      </c>
      <c r="C49" s="2">
        <v>3</v>
      </c>
      <c r="D49" t="s">
        <v>6</v>
      </c>
    </row>
    <row r="50" spans="1:4">
      <c r="A50" s="2" t="s">
        <v>4</v>
      </c>
      <c r="B50" s="2">
        <v>17</v>
      </c>
      <c r="C50" s="2">
        <v>1</v>
      </c>
      <c r="D50" t="s">
        <v>6</v>
      </c>
    </row>
    <row r="51" spans="1:4">
      <c r="A51" s="2" t="s">
        <v>4</v>
      </c>
      <c r="B51" s="2">
        <v>17</v>
      </c>
      <c r="C51" s="2">
        <v>2</v>
      </c>
      <c r="D51" t="s">
        <v>7</v>
      </c>
    </row>
    <row r="52" spans="1:4">
      <c r="A52" s="2" t="s">
        <v>4</v>
      </c>
      <c r="B52" s="2">
        <v>17</v>
      </c>
      <c r="C52" s="2">
        <v>3</v>
      </c>
      <c r="D52" t="s">
        <v>6</v>
      </c>
    </row>
    <row r="53" spans="1:4">
      <c r="A53" s="2" t="s">
        <v>4</v>
      </c>
      <c r="B53" s="2">
        <v>18</v>
      </c>
      <c r="C53" s="2">
        <v>1</v>
      </c>
      <c r="D53" t="s">
        <v>6</v>
      </c>
    </row>
    <row r="54" spans="1:4">
      <c r="A54" s="2" t="s">
        <v>4</v>
      </c>
      <c r="B54" s="2">
        <v>18</v>
      </c>
      <c r="C54" s="2">
        <v>2</v>
      </c>
      <c r="D54" t="s">
        <v>8</v>
      </c>
    </row>
    <row r="55" spans="1:4">
      <c r="A55" s="2" t="s">
        <v>4</v>
      </c>
      <c r="B55" s="2">
        <v>18</v>
      </c>
      <c r="C55" s="2">
        <v>3</v>
      </c>
      <c r="D55" t="s">
        <v>9</v>
      </c>
    </row>
    <row r="56" spans="1:4">
      <c r="A56" s="2" t="s">
        <v>4</v>
      </c>
      <c r="B56" s="2">
        <v>19</v>
      </c>
      <c r="C56" s="2">
        <v>1</v>
      </c>
      <c r="D56" t="s">
        <v>6</v>
      </c>
    </row>
    <row r="57" spans="1:4">
      <c r="A57" s="2" t="s">
        <v>4</v>
      </c>
      <c r="B57" s="2">
        <v>19</v>
      </c>
      <c r="C57" s="2">
        <v>2</v>
      </c>
      <c r="D57" t="s">
        <v>6</v>
      </c>
    </row>
    <row r="58" spans="1:4">
      <c r="A58" s="2" t="s">
        <v>4</v>
      </c>
      <c r="B58" s="2">
        <v>19</v>
      </c>
      <c r="C58" s="2">
        <v>3</v>
      </c>
      <c r="D58" t="s">
        <v>6</v>
      </c>
    </row>
    <row r="59" spans="1:4">
      <c r="A59" s="2" t="s">
        <v>4</v>
      </c>
      <c r="B59" s="2">
        <v>20</v>
      </c>
      <c r="C59" s="2">
        <v>1</v>
      </c>
      <c r="D59" t="s">
        <v>6</v>
      </c>
    </row>
    <row r="60" spans="1:4">
      <c r="A60" s="2" t="s">
        <v>4</v>
      </c>
      <c r="B60" s="2">
        <v>20</v>
      </c>
      <c r="C60" s="2">
        <v>2</v>
      </c>
      <c r="D60" t="s">
        <v>6</v>
      </c>
    </row>
    <row r="61" spans="1:4">
      <c r="A61" s="2" t="s">
        <v>4</v>
      </c>
      <c r="B61" s="2">
        <v>20</v>
      </c>
      <c r="C61" s="2">
        <v>3</v>
      </c>
      <c r="D61" t="s">
        <v>8</v>
      </c>
    </row>
    <row r="62" spans="1:4">
      <c r="A62" s="2" t="s">
        <v>4</v>
      </c>
      <c r="B62" s="2">
        <v>21</v>
      </c>
      <c r="C62" s="2">
        <v>1</v>
      </c>
      <c r="D62" t="s">
        <v>6</v>
      </c>
    </row>
    <row r="63" spans="1:4">
      <c r="A63" s="2" t="s">
        <v>4</v>
      </c>
      <c r="B63" s="2">
        <v>21</v>
      </c>
      <c r="C63" s="2">
        <v>2</v>
      </c>
      <c r="D63" t="s">
        <v>8</v>
      </c>
    </row>
    <row r="64" spans="1:4">
      <c r="A64" s="2" t="s">
        <v>4</v>
      </c>
      <c r="B64" s="2">
        <v>21</v>
      </c>
      <c r="C64" s="2">
        <v>3</v>
      </c>
      <c r="D64" t="s">
        <v>10</v>
      </c>
    </row>
    <row r="65" spans="1:4">
      <c r="A65" s="2" t="s">
        <v>4</v>
      </c>
      <c r="B65" s="2">
        <v>22</v>
      </c>
      <c r="C65" s="2">
        <v>1</v>
      </c>
      <c r="D65" t="s">
        <v>7</v>
      </c>
    </row>
    <row r="66" spans="1:4">
      <c r="A66" s="2" t="s">
        <v>4</v>
      </c>
      <c r="B66" s="2">
        <v>22</v>
      </c>
      <c r="C66" s="2">
        <v>2</v>
      </c>
      <c r="D66" t="s">
        <v>6</v>
      </c>
    </row>
    <row r="67" spans="1:4">
      <c r="A67" s="2" t="s">
        <v>4</v>
      </c>
      <c r="B67" s="2">
        <v>22</v>
      </c>
      <c r="C67" s="2">
        <v>3</v>
      </c>
      <c r="D67" t="s">
        <v>8</v>
      </c>
    </row>
    <row r="68" spans="1:4">
      <c r="A68" s="2" t="s">
        <v>4</v>
      </c>
      <c r="B68" s="2">
        <v>23</v>
      </c>
      <c r="C68" s="2">
        <v>1</v>
      </c>
      <c r="D68" t="s">
        <v>8</v>
      </c>
    </row>
    <row r="69" spans="1:4">
      <c r="A69" s="2" t="s">
        <v>4</v>
      </c>
      <c r="B69" s="2">
        <v>23</v>
      </c>
      <c r="C69" s="2">
        <v>2</v>
      </c>
      <c r="D69" t="s">
        <v>6</v>
      </c>
    </row>
    <row r="70" spans="1:4">
      <c r="A70" s="2" t="s">
        <v>4</v>
      </c>
      <c r="B70" s="2">
        <v>23</v>
      </c>
      <c r="C70" s="2">
        <v>3</v>
      </c>
      <c r="D70" t="s">
        <v>6</v>
      </c>
    </row>
    <row r="71" spans="1:4">
      <c r="A71" s="2" t="s">
        <v>4</v>
      </c>
      <c r="B71" s="2">
        <v>24</v>
      </c>
      <c r="C71" s="2">
        <v>1</v>
      </c>
      <c r="D71" t="s">
        <v>6</v>
      </c>
    </row>
    <row r="72" spans="1:4">
      <c r="A72" s="2" t="s">
        <v>4</v>
      </c>
      <c r="B72" s="2">
        <v>24</v>
      </c>
      <c r="C72" s="2">
        <v>2</v>
      </c>
      <c r="D72" t="s">
        <v>6</v>
      </c>
    </row>
    <row r="73" spans="1:4">
      <c r="A73" s="2" t="s">
        <v>4</v>
      </c>
      <c r="B73" s="2">
        <v>24</v>
      </c>
      <c r="C73" s="2">
        <v>3</v>
      </c>
      <c r="D73" t="s">
        <v>8</v>
      </c>
    </row>
    <row r="74" spans="1:4">
      <c r="A74" s="2" t="s">
        <v>4</v>
      </c>
      <c r="B74" s="2">
        <v>25</v>
      </c>
      <c r="C74" s="2">
        <v>1</v>
      </c>
      <c r="D74" t="s">
        <v>6</v>
      </c>
    </row>
    <row r="75" spans="1:4">
      <c r="A75" s="2" t="s">
        <v>4</v>
      </c>
      <c r="B75" s="2">
        <v>25</v>
      </c>
      <c r="C75" s="2">
        <v>2</v>
      </c>
      <c r="D75" t="s">
        <v>7</v>
      </c>
    </row>
    <row r="76" spans="1:4">
      <c r="A76" s="2" t="s">
        <v>4</v>
      </c>
      <c r="B76" s="2">
        <v>25</v>
      </c>
      <c r="C76" s="2">
        <v>3</v>
      </c>
      <c r="D76" t="s">
        <v>6</v>
      </c>
    </row>
    <row r="77" spans="1:4">
      <c r="A77" s="2" t="s">
        <v>4</v>
      </c>
      <c r="B77" s="2">
        <v>26</v>
      </c>
      <c r="C77" s="2">
        <v>1</v>
      </c>
      <c r="D77" t="s">
        <v>6</v>
      </c>
    </row>
    <row r="78" spans="1:4">
      <c r="A78" s="2" t="s">
        <v>4</v>
      </c>
      <c r="B78" s="2">
        <v>26</v>
      </c>
      <c r="C78" s="2">
        <v>2</v>
      </c>
      <c r="D78" t="s">
        <v>7</v>
      </c>
    </row>
    <row r="79" spans="1:4">
      <c r="A79" s="2" t="s">
        <v>4</v>
      </c>
      <c r="B79" s="2">
        <v>26</v>
      </c>
      <c r="C79" s="2">
        <v>3</v>
      </c>
      <c r="D79" t="s">
        <v>7</v>
      </c>
    </row>
    <row r="80" spans="1:4">
      <c r="A80" s="2" t="s">
        <v>4</v>
      </c>
      <c r="B80" s="2">
        <v>27</v>
      </c>
      <c r="C80" s="2">
        <v>1</v>
      </c>
      <c r="D80" t="s">
        <v>6</v>
      </c>
    </row>
    <row r="81" spans="1:4">
      <c r="A81" s="2" t="s">
        <v>4</v>
      </c>
      <c r="B81" s="2">
        <v>27</v>
      </c>
      <c r="C81" s="2">
        <v>2</v>
      </c>
      <c r="D81" t="s">
        <v>8</v>
      </c>
    </row>
    <row r="82" spans="1:4">
      <c r="A82" s="2" t="s">
        <v>4</v>
      </c>
      <c r="B82" s="2">
        <v>27</v>
      </c>
      <c r="C82" s="2">
        <v>3</v>
      </c>
      <c r="D82" t="s">
        <v>7</v>
      </c>
    </row>
    <row r="83" spans="1:4">
      <c r="A83" s="2" t="s">
        <v>4</v>
      </c>
      <c r="B83" s="2">
        <v>28</v>
      </c>
      <c r="C83" s="2">
        <v>1</v>
      </c>
      <c r="D83" t="s">
        <v>6</v>
      </c>
    </row>
    <row r="84" spans="1:4">
      <c r="A84" s="2" t="s">
        <v>4</v>
      </c>
      <c r="B84" s="2">
        <v>28</v>
      </c>
      <c r="C84" s="2">
        <v>2</v>
      </c>
      <c r="D84" t="s">
        <v>6</v>
      </c>
    </row>
    <row r="85" spans="1:4">
      <c r="A85" s="2" t="s">
        <v>4</v>
      </c>
      <c r="B85" s="2">
        <v>28</v>
      </c>
      <c r="C85" s="2">
        <v>3</v>
      </c>
      <c r="D85" t="s">
        <v>9</v>
      </c>
    </row>
    <row r="86" spans="1:4">
      <c r="A86" s="2" t="s">
        <v>4</v>
      </c>
      <c r="B86" s="2">
        <v>29</v>
      </c>
      <c r="C86" s="2">
        <v>1</v>
      </c>
      <c r="D86" t="s">
        <v>8</v>
      </c>
    </row>
    <row r="87" spans="1:4">
      <c r="A87" s="2" t="s">
        <v>4</v>
      </c>
      <c r="B87" s="2">
        <v>29</v>
      </c>
      <c r="C87" s="2">
        <v>2</v>
      </c>
      <c r="D87" t="s">
        <v>6</v>
      </c>
    </row>
    <row r="88" spans="1:4">
      <c r="A88" s="2" t="s">
        <v>4</v>
      </c>
      <c r="B88" s="2">
        <v>29</v>
      </c>
      <c r="C88" s="2">
        <v>3</v>
      </c>
      <c r="D88" t="s">
        <v>7</v>
      </c>
    </row>
    <row r="89" spans="1:4">
      <c r="A89" s="2" t="s">
        <v>4</v>
      </c>
      <c r="B89" s="2">
        <v>30</v>
      </c>
      <c r="C89" s="2">
        <v>1</v>
      </c>
      <c r="D89" t="s">
        <v>7</v>
      </c>
    </row>
    <row r="90" spans="1:4">
      <c r="A90" s="2" t="s">
        <v>4</v>
      </c>
      <c r="B90" s="2">
        <v>30</v>
      </c>
      <c r="C90" s="2">
        <v>2</v>
      </c>
      <c r="D90" t="s">
        <v>7</v>
      </c>
    </row>
    <row r="91" spans="1:4">
      <c r="A91" s="2" t="s">
        <v>4</v>
      </c>
      <c r="B91" s="2">
        <v>30</v>
      </c>
      <c r="C91" s="2">
        <v>3</v>
      </c>
      <c r="D91" t="s">
        <v>7</v>
      </c>
    </row>
    <row r="92" spans="1:4">
      <c r="A92" s="2" t="s">
        <v>4</v>
      </c>
      <c r="B92" s="2">
        <v>31</v>
      </c>
      <c r="C92" s="2">
        <v>1</v>
      </c>
      <c r="D92" t="s">
        <v>6</v>
      </c>
    </row>
    <row r="93" spans="1:4">
      <c r="A93" s="2" t="s">
        <v>4</v>
      </c>
      <c r="B93" s="2">
        <v>31</v>
      </c>
      <c r="C93" s="2">
        <v>2</v>
      </c>
      <c r="D93" t="s">
        <v>8</v>
      </c>
    </row>
    <row r="94" spans="1:4">
      <c r="A94" s="2" t="s">
        <v>4</v>
      </c>
      <c r="B94" s="2">
        <v>31</v>
      </c>
      <c r="C94" s="2">
        <v>3</v>
      </c>
      <c r="D94" t="s">
        <v>6</v>
      </c>
    </row>
    <row r="95" spans="1:4">
      <c r="A95" s="2" t="s">
        <v>4</v>
      </c>
      <c r="B95" s="2">
        <v>32</v>
      </c>
      <c r="C95" s="2">
        <v>1</v>
      </c>
      <c r="D95" t="s">
        <v>6</v>
      </c>
    </row>
    <row r="96" spans="1:4">
      <c r="A96" s="2" t="s">
        <v>4</v>
      </c>
      <c r="B96" s="2">
        <v>32</v>
      </c>
      <c r="C96" s="2">
        <v>2</v>
      </c>
      <c r="D96" t="s">
        <v>7</v>
      </c>
    </row>
    <row r="97" spans="1:4">
      <c r="A97" s="2" t="s">
        <v>4</v>
      </c>
      <c r="B97" s="2">
        <v>32</v>
      </c>
      <c r="C97" s="2">
        <v>3</v>
      </c>
      <c r="D97" t="s">
        <v>7</v>
      </c>
    </row>
    <row r="98" spans="1:4">
      <c r="A98" s="2" t="s">
        <v>4</v>
      </c>
      <c r="B98" s="2">
        <v>33</v>
      </c>
      <c r="C98" s="2">
        <v>1</v>
      </c>
      <c r="D98" t="s">
        <v>7</v>
      </c>
    </row>
    <row r="99" spans="1:4">
      <c r="A99" s="2" t="s">
        <v>4</v>
      </c>
      <c r="B99" s="2">
        <v>33</v>
      </c>
      <c r="C99" s="2">
        <v>2</v>
      </c>
      <c r="D99" t="s">
        <v>7</v>
      </c>
    </row>
    <row r="100" spans="1:4">
      <c r="A100" s="2" t="s">
        <v>4</v>
      </c>
      <c r="B100" s="2">
        <v>33</v>
      </c>
      <c r="C100" s="2">
        <v>3</v>
      </c>
      <c r="D100" t="s">
        <v>7</v>
      </c>
    </row>
    <row r="101" spans="1:4">
      <c r="A101" s="2" t="s">
        <v>4</v>
      </c>
      <c r="B101" s="2">
        <v>34</v>
      </c>
      <c r="C101" s="2">
        <v>1</v>
      </c>
      <c r="D101" t="s">
        <v>8</v>
      </c>
    </row>
    <row r="102" spans="1:4">
      <c r="A102" s="2" t="s">
        <v>4</v>
      </c>
      <c r="B102" s="2">
        <v>34</v>
      </c>
      <c r="C102" s="2">
        <v>2</v>
      </c>
      <c r="D102" t="s">
        <v>7</v>
      </c>
    </row>
    <row r="103" spans="1:4">
      <c r="A103" s="2" t="s">
        <v>4</v>
      </c>
      <c r="B103" s="2">
        <v>34</v>
      </c>
      <c r="C103" s="2">
        <v>3</v>
      </c>
      <c r="D103" t="s">
        <v>7</v>
      </c>
    </row>
    <row r="104" spans="1:4">
      <c r="A104" s="2" t="s">
        <v>4</v>
      </c>
      <c r="B104" s="2">
        <v>35</v>
      </c>
      <c r="C104" s="2">
        <v>1</v>
      </c>
      <c r="D104" t="s">
        <v>9</v>
      </c>
    </row>
    <row r="105" spans="1:4">
      <c r="A105" s="2" t="s">
        <v>4</v>
      </c>
      <c r="B105" s="2">
        <v>35</v>
      </c>
      <c r="C105" s="2">
        <v>2</v>
      </c>
      <c r="D105" t="s">
        <v>8</v>
      </c>
    </row>
    <row r="106" spans="1:4">
      <c r="A106" s="2" t="s">
        <v>4</v>
      </c>
      <c r="B106" s="2">
        <v>35</v>
      </c>
      <c r="C106" s="2">
        <v>3</v>
      </c>
      <c r="D106" t="s">
        <v>7</v>
      </c>
    </row>
    <row r="107" spans="1:4">
      <c r="A107" s="2" t="s">
        <v>4</v>
      </c>
      <c r="B107" s="2">
        <v>36</v>
      </c>
      <c r="C107" s="2">
        <v>1</v>
      </c>
      <c r="D107" t="s">
        <v>6</v>
      </c>
    </row>
    <row r="108" spans="1:4">
      <c r="A108" s="2" t="s">
        <v>4</v>
      </c>
      <c r="B108" s="2">
        <v>36</v>
      </c>
      <c r="C108" s="2">
        <v>2</v>
      </c>
      <c r="D108" t="s">
        <v>8</v>
      </c>
    </row>
    <row r="109" spans="1:4">
      <c r="A109" s="2" t="s">
        <v>4</v>
      </c>
      <c r="B109" s="2">
        <v>36</v>
      </c>
      <c r="C109" s="2">
        <v>3</v>
      </c>
      <c r="D109" t="s">
        <v>7</v>
      </c>
    </row>
    <row r="110" spans="1:4">
      <c r="A110" s="2" t="s">
        <v>5</v>
      </c>
      <c r="B110" s="2">
        <v>1</v>
      </c>
      <c r="C110" s="2">
        <v>1</v>
      </c>
      <c r="D110" t="s">
        <v>7</v>
      </c>
    </row>
    <row r="111" spans="1:4">
      <c r="A111" s="2" t="s">
        <v>5</v>
      </c>
      <c r="B111" s="2">
        <v>1</v>
      </c>
      <c r="C111" s="2">
        <v>2</v>
      </c>
      <c r="D111" t="s">
        <v>9</v>
      </c>
    </row>
    <row r="112" spans="1:4">
      <c r="A112" s="2" t="s">
        <v>5</v>
      </c>
      <c r="B112" s="2">
        <v>1</v>
      </c>
      <c r="C112" s="2">
        <v>3</v>
      </c>
      <c r="D112" t="s">
        <v>7</v>
      </c>
    </row>
    <row r="113" spans="1:4">
      <c r="A113" s="2" t="s">
        <v>5</v>
      </c>
      <c r="B113" s="2">
        <v>2</v>
      </c>
      <c r="C113" s="2">
        <v>1</v>
      </c>
      <c r="D113" t="s">
        <v>6</v>
      </c>
    </row>
    <row r="114" spans="1:4">
      <c r="A114" s="2" t="s">
        <v>5</v>
      </c>
      <c r="B114" s="2">
        <v>2</v>
      </c>
      <c r="C114" s="2">
        <v>2</v>
      </c>
      <c r="D114" t="s">
        <v>7</v>
      </c>
    </row>
    <row r="115" spans="1:4">
      <c r="A115" s="2" t="s">
        <v>5</v>
      </c>
      <c r="B115" s="2">
        <v>2</v>
      </c>
      <c r="C115" s="2">
        <v>3</v>
      </c>
      <c r="D115" t="s">
        <v>6</v>
      </c>
    </row>
    <row r="116" spans="1:4">
      <c r="A116" s="2" t="s">
        <v>5</v>
      </c>
      <c r="B116" s="2">
        <v>3</v>
      </c>
      <c r="C116" s="2">
        <v>1</v>
      </c>
      <c r="D116" t="s">
        <v>6</v>
      </c>
    </row>
    <row r="117" spans="1:4">
      <c r="A117" s="2" t="s">
        <v>5</v>
      </c>
      <c r="B117" s="2">
        <v>3</v>
      </c>
      <c r="C117" s="2">
        <v>2</v>
      </c>
      <c r="D117" t="s">
        <v>8</v>
      </c>
    </row>
    <row r="118" spans="1:4">
      <c r="A118" s="2" t="s">
        <v>5</v>
      </c>
      <c r="B118" s="2">
        <v>3</v>
      </c>
      <c r="C118" s="2">
        <v>3</v>
      </c>
      <c r="D118" t="s">
        <v>6</v>
      </c>
    </row>
    <row r="119" spans="1:4">
      <c r="A119" s="2" t="s">
        <v>5</v>
      </c>
      <c r="B119" s="2">
        <v>4</v>
      </c>
      <c r="C119" s="2">
        <v>1</v>
      </c>
      <c r="D119" t="s">
        <v>7</v>
      </c>
    </row>
    <row r="120" spans="1:4">
      <c r="A120" s="2" t="s">
        <v>5</v>
      </c>
      <c r="B120" s="2">
        <v>4</v>
      </c>
      <c r="C120" s="2">
        <v>2</v>
      </c>
      <c r="D120" t="s">
        <v>6</v>
      </c>
    </row>
    <row r="121" spans="1:4">
      <c r="A121" s="2" t="s">
        <v>5</v>
      </c>
      <c r="B121" s="2">
        <v>4</v>
      </c>
      <c r="C121" s="2">
        <v>3</v>
      </c>
      <c r="D121" t="s">
        <v>8</v>
      </c>
    </row>
    <row r="122" spans="1:4">
      <c r="A122" s="2" t="s">
        <v>5</v>
      </c>
      <c r="B122" s="2">
        <v>5</v>
      </c>
      <c r="C122" s="2">
        <v>1</v>
      </c>
      <c r="D122" t="s">
        <v>6</v>
      </c>
    </row>
    <row r="123" spans="1:4">
      <c r="A123" s="2" t="s">
        <v>5</v>
      </c>
      <c r="B123" s="2">
        <v>5</v>
      </c>
      <c r="C123" s="2">
        <v>2</v>
      </c>
      <c r="D123" t="s">
        <v>8</v>
      </c>
    </row>
    <row r="124" spans="1:4">
      <c r="A124" s="2" t="s">
        <v>5</v>
      </c>
      <c r="B124" s="2">
        <v>5</v>
      </c>
      <c r="C124" s="2">
        <v>3</v>
      </c>
      <c r="D124" t="s">
        <v>8</v>
      </c>
    </row>
    <row r="125" spans="1:4">
      <c r="A125" s="2" t="s">
        <v>5</v>
      </c>
      <c r="B125" s="2">
        <v>6</v>
      </c>
      <c r="C125" s="2">
        <v>1</v>
      </c>
      <c r="D125" t="s">
        <v>7</v>
      </c>
    </row>
    <row r="126" spans="1:4">
      <c r="A126" s="2" t="s">
        <v>5</v>
      </c>
      <c r="B126" s="2">
        <v>6</v>
      </c>
      <c r="C126" s="2">
        <v>2</v>
      </c>
      <c r="D126" t="s">
        <v>7</v>
      </c>
    </row>
    <row r="127" spans="1:4">
      <c r="A127" s="2" t="s">
        <v>5</v>
      </c>
      <c r="B127" s="2">
        <v>6</v>
      </c>
      <c r="C127" s="2">
        <v>3</v>
      </c>
      <c r="D127" t="s">
        <v>6</v>
      </c>
    </row>
    <row r="128" spans="1:4">
      <c r="A128" s="2" t="s">
        <v>5</v>
      </c>
      <c r="B128" s="2">
        <v>7</v>
      </c>
      <c r="C128" s="2">
        <v>1</v>
      </c>
      <c r="D128" t="s">
        <v>9</v>
      </c>
    </row>
    <row r="129" spans="1:4">
      <c r="A129" s="2" t="s">
        <v>5</v>
      </c>
      <c r="B129" s="2">
        <v>7</v>
      </c>
      <c r="C129" s="2">
        <v>2</v>
      </c>
      <c r="D129" t="s">
        <v>9</v>
      </c>
    </row>
    <row r="130" spans="1:4">
      <c r="A130" s="2" t="s">
        <v>5</v>
      </c>
      <c r="B130" s="2">
        <v>7</v>
      </c>
      <c r="C130" s="2">
        <v>3</v>
      </c>
      <c r="D130" t="s">
        <v>6</v>
      </c>
    </row>
    <row r="131" spans="1:4">
      <c r="A131" s="2" t="s">
        <v>5</v>
      </c>
      <c r="B131" s="2">
        <v>8</v>
      </c>
      <c r="C131" s="2">
        <v>1</v>
      </c>
      <c r="D131" t="s">
        <v>9</v>
      </c>
    </row>
    <row r="132" spans="1:4">
      <c r="A132" s="2" t="s">
        <v>5</v>
      </c>
      <c r="B132" s="2">
        <v>8</v>
      </c>
      <c r="C132" s="2">
        <v>2</v>
      </c>
      <c r="D132" t="s">
        <v>10</v>
      </c>
    </row>
    <row r="133" spans="1:4">
      <c r="A133" s="2" t="s">
        <v>5</v>
      </c>
      <c r="B133" s="2">
        <v>8</v>
      </c>
      <c r="C133" s="2">
        <v>3</v>
      </c>
      <c r="D133" t="s">
        <v>7</v>
      </c>
    </row>
    <row r="134" spans="1:4">
      <c r="A134" s="2" t="s">
        <v>5</v>
      </c>
      <c r="B134" s="2">
        <v>9</v>
      </c>
      <c r="C134" s="2">
        <v>1</v>
      </c>
      <c r="D134" t="s">
        <v>6</v>
      </c>
    </row>
    <row r="135" spans="1:4">
      <c r="A135" s="2" t="s">
        <v>5</v>
      </c>
      <c r="B135" s="2">
        <v>9</v>
      </c>
      <c r="C135" s="2">
        <v>2</v>
      </c>
      <c r="D135" t="s">
        <v>9</v>
      </c>
    </row>
    <row r="136" spans="1:4">
      <c r="A136" s="2" t="s">
        <v>5</v>
      </c>
      <c r="B136" s="2">
        <v>9</v>
      </c>
      <c r="C136" s="2">
        <v>3</v>
      </c>
      <c r="D136" t="s">
        <v>8</v>
      </c>
    </row>
    <row r="137" spans="1:4">
      <c r="A137" s="2" t="s">
        <v>5</v>
      </c>
      <c r="B137" s="2">
        <v>10</v>
      </c>
      <c r="C137" s="2">
        <v>1</v>
      </c>
      <c r="D137" t="s">
        <v>7</v>
      </c>
    </row>
    <row r="138" spans="1:4">
      <c r="A138" s="2" t="s">
        <v>5</v>
      </c>
      <c r="B138" s="2">
        <v>10</v>
      </c>
      <c r="C138" s="2">
        <v>2</v>
      </c>
      <c r="D138" t="s">
        <v>6</v>
      </c>
    </row>
    <row r="139" spans="1:4">
      <c r="A139" s="2" t="s">
        <v>5</v>
      </c>
      <c r="B139" s="2">
        <v>10</v>
      </c>
      <c r="C139" s="2">
        <v>3</v>
      </c>
      <c r="D139" t="s">
        <v>6</v>
      </c>
    </row>
    <row r="140" spans="1:4">
      <c r="A140" s="2" t="s">
        <v>5</v>
      </c>
      <c r="B140" s="2">
        <v>11</v>
      </c>
      <c r="C140" s="2">
        <v>1</v>
      </c>
      <c r="D140" t="s">
        <v>6</v>
      </c>
    </row>
    <row r="141" spans="1:4">
      <c r="A141" s="2" t="s">
        <v>5</v>
      </c>
      <c r="B141" s="2">
        <v>11</v>
      </c>
      <c r="C141" s="2">
        <v>2</v>
      </c>
      <c r="D141" t="s">
        <v>6</v>
      </c>
    </row>
    <row r="142" spans="1:4">
      <c r="A142" s="2" t="s">
        <v>5</v>
      </c>
      <c r="B142" s="2">
        <v>11</v>
      </c>
      <c r="C142" s="2">
        <v>3</v>
      </c>
      <c r="D142" t="s">
        <v>9</v>
      </c>
    </row>
    <row r="143" spans="1:4">
      <c r="A143" s="2" t="s">
        <v>5</v>
      </c>
      <c r="B143" s="2">
        <v>12</v>
      </c>
      <c r="C143" s="2">
        <v>1</v>
      </c>
      <c r="D143" t="s">
        <v>8</v>
      </c>
    </row>
    <row r="144" spans="1:4">
      <c r="A144" s="2" t="s">
        <v>5</v>
      </c>
      <c r="B144" s="2">
        <v>12</v>
      </c>
      <c r="C144" s="2">
        <v>2</v>
      </c>
      <c r="D144" t="s">
        <v>7</v>
      </c>
    </row>
    <row r="145" spans="1:4">
      <c r="A145" s="2" t="s">
        <v>5</v>
      </c>
      <c r="B145" s="2">
        <v>12</v>
      </c>
      <c r="C145" s="2">
        <v>3</v>
      </c>
      <c r="D145" t="s">
        <v>6</v>
      </c>
    </row>
    <row r="146" spans="1:4">
      <c r="A146" s="2" t="s">
        <v>5</v>
      </c>
      <c r="B146" s="2">
        <v>13</v>
      </c>
      <c r="C146" s="2">
        <v>1</v>
      </c>
      <c r="D146" t="s">
        <v>7</v>
      </c>
    </row>
    <row r="147" spans="1:4">
      <c r="A147" s="2" t="s">
        <v>5</v>
      </c>
      <c r="B147" s="2">
        <v>13</v>
      </c>
      <c r="C147" s="2">
        <v>2</v>
      </c>
      <c r="D147" t="s">
        <v>7</v>
      </c>
    </row>
    <row r="148" spans="1:4">
      <c r="A148" s="2" t="s">
        <v>5</v>
      </c>
      <c r="B148" s="2">
        <v>13</v>
      </c>
      <c r="C148" s="2">
        <v>3</v>
      </c>
      <c r="D148" t="s">
        <v>7</v>
      </c>
    </row>
    <row r="149" spans="1:4">
      <c r="A149" s="2" t="s">
        <v>5</v>
      </c>
      <c r="B149" s="2">
        <v>14</v>
      </c>
      <c r="C149" s="2">
        <v>1</v>
      </c>
      <c r="D149" t="s">
        <v>6</v>
      </c>
    </row>
    <row r="150" spans="1:4">
      <c r="A150" s="2" t="s">
        <v>5</v>
      </c>
      <c r="B150" s="2">
        <v>14</v>
      </c>
      <c r="C150" s="2">
        <v>2</v>
      </c>
      <c r="D150" t="s">
        <v>9</v>
      </c>
    </row>
    <row r="151" spans="1:4">
      <c r="A151" s="2" t="s">
        <v>5</v>
      </c>
      <c r="B151" s="2">
        <v>14</v>
      </c>
      <c r="C151" s="2">
        <v>3</v>
      </c>
      <c r="D151" t="s">
        <v>9</v>
      </c>
    </row>
    <row r="152" spans="1:4">
      <c r="A152" s="2" t="s">
        <v>5</v>
      </c>
      <c r="B152" s="2">
        <v>15</v>
      </c>
      <c r="C152" s="2">
        <v>1</v>
      </c>
      <c r="D152" t="s">
        <v>6</v>
      </c>
    </row>
    <row r="153" spans="1:4">
      <c r="A153" s="2" t="s">
        <v>5</v>
      </c>
      <c r="B153" s="2">
        <v>15</v>
      </c>
      <c r="C153" s="2">
        <v>2</v>
      </c>
      <c r="D153" t="s">
        <v>8</v>
      </c>
    </row>
    <row r="154" spans="1:4">
      <c r="A154" s="2" t="s">
        <v>5</v>
      </c>
      <c r="B154" s="2">
        <v>15</v>
      </c>
      <c r="C154" s="2">
        <v>3</v>
      </c>
      <c r="D154" t="s">
        <v>6</v>
      </c>
    </row>
    <row r="155" spans="1:4">
      <c r="A155" s="2" t="s">
        <v>5</v>
      </c>
      <c r="B155" s="2">
        <v>16</v>
      </c>
      <c r="C155" s="2">
        <v>1</v>
      </c>
      <c r="D155" t="s">
        <v>6</v>
      </c>
    </row>
    <row r="156" spans="1:4">
      <c r="A156" s="2" t="s">
        <v>5</v>
      </c>
      <c r="B156" s="2">
        <v>16</v>
      </c>
      <c r="C156" s="2">
        <v>2</v>
      </c>
      <c r="D156" t="s">
        <v>9</v>
      </c>
    </row>
    <row r="157" spans="1:4">
      <c r="A157" s="2" t="s">
        <v>5</v>
      </c>
      <c r="B157" s="2">
        <v>16</v>
      </c>
      <c r="C157" s="2">
        <v>3</v>
      </c>
      <c r="D157" t="s">
        <v>6</v>
      </c>
    </row>
    <row r="158" spans="1:4">
      <c r="A158" s="2" t="s">
        <v>5</v>
      </c>
      <c r="B158" s="2">
        <v>17</v>
      </c>
      <c r="C158" s="2">
        <v>1</v>
      </c>
      <c r="D158" t="s">
        <v>9</v>
      </c>
    </row>
    <row r="159" spans="1:4">
      <c r="A159" s="2" t="s">
        <v>5</v>
      </c>
      <c r="B159" s="2">
        <v>17</v>
      </c>
      <c r="C159" s="2">
        <v>2</v>
      </c>
      <c r="D159" t="s">
        <v>6</v>
      </c>
    </row>
    <row r="160" spans="1:4">
      <c r="A160" s="2" t="s">
        <v>5</v>
      </c>
      <c r="B160" s="2">
        <v>17</v>
      </c>
      <c r="C160" s="2">
        <v>3</v>
      </c>
      <c r="D160" t="s">
        <v>8</v>
      </c>
    </row>
    <row r="161" spans="1:4">
      <c r="A161" s="2" t="s">
        <v>5</v>
      </c>
      <c r="B161" s="2">
        <v>18</v>
      </c>
      <c r="C161" s="2">
        <v>1</v>
      </c>
      <c r="D161" t="s">
        <v>8</v>
      </c>
    </row>
    <row r="162" spans="1:4">
      <c r="A162" s="2" t="s">
        <v>5</v>
      </c>
      <c r="B162" s="2">
        <v>18</v>
      </c>
      <c r="C162" s="2">
        <v>2</v>
      </c>
      <c r="D162" t="s">
        <v>6</v>
      </c>
    </row>
    <row r="163" spans="1:4">
      <c r="A163" s="2" t="s">
        <v>5</v>
      </c>
      <c r="B163" s="2">
        <v>18</v>
      </c>
      <c r="C163" s="2">
        <v>3</v>
      </c>
      <c r="D163" t="s">
        <v>8</v>
      </c>
    </row>
    <row r="164" spans="1:4">
      <c r="A164" s="2" t="s">
        <v>5</v>
      </c>
      <c r="B164" s="2">
        <v>19</v>
      </c>
      <c r="C164" s="2">
        <v>1</v>
      </c>
      <c r="D164" t="s">
        <v>9</v>
      </c>
    </row>
    <row r="165" spans="1:4">
      <c r="A165" s="2" t="s">
        <v>5</v>
      </c>
      <c r="B165" s="2">
        <v>19</v>
      </c>
      <c r="C165" s="2">
        <v>2</v>
      </c>
      <c r="D165" t="s">
        <v>9</v>
      </c>
    </row>
    <row r="166" spans="1:4">
      <c r="A166" s="2" t="s">
        <v>5</v>
      </c>
      <c r="B166" s="2">
        <v>19</v>
      </c>
      <c r="C166" s="2">
        <v>3</v>
      </c>
      <c r="D166" t="s">
        <v>6</v>
      </c>
    </row>
    <row r="167" spans="1:4">
      <c r="A167" s="2" t="s">
        <v>5</v>
      </c>
      <c r="B167" s="2">
        <v>20</v>
      </c>
      <c r="C167" s="2">
        <v>1</v>
      </c>
      <c r="D167" t="s">
        <v>9</v>
      </c>
    </row>
    <row r="168" spans="1:4">
      <c r="A168" s="2" t="s">
        <v>5</v>
      </c>
      <c r="B168" s="2">
        <v>20</v>
      </c>
      <c r="C168" s="2">
        <v>2</v>
      </c>
      <c r="D168" t="s">
        <v>7</v>
      </c>
    </row>
    <row r="169" spans="1:4">
      <c r="A169" s="2" t="s">
        <v>5</v>
      </c>
      <c r="B169" s="2">
        <v>20</v>
      </c>
      <c r="C169" s="2">
        <v>3</v>
      </c>
      <c r="D169" t="s">
        <v>9</v>
      </c>
    </row>
    <row r="170" spans="1:4">
      <c r="A170" s="2" t="s">
        <v>5</v>
      </c>
      <c r="B170" s="2">
        <v>21</v>
      </c>
      <c r="C170" s="2">
        <v>1</v>
      </c>
      <c r="D170" t="s">
        <v>6</v>
      </c>
    </row>
    <row r="171" spans="1:4">
      <c r="A171" s="2" t="s">
        <v>5</v>
      </c>
      <c r="B171" s="2">
        <v>21</v>
      </c>
      <c r="C171" s="2">
        <v>2</v>
      </c>
      <c r="D171" t="s">
        <v>6</v>
      </c>
    </row>
    <row r="172" spans="1:4">
      <c r="A172" s="2" t="s">
        <v>5</v>
      </c>
      <c r="B172" s="2">
        <v>21</v>
      </c>
      <c r="C172" s="2">
        <v>3</v>
      </c>
      <c r="D172" t="s">
        <v>6</v>
      </c>
    </row>
    <row r="173" spans="1:4">
      <c r="A173" s="2" t="s">
        <v>5</v>
      </c>
      <c r="B173" s="2">
        <v>21</v>
      </c>
      <c r="C173" s="2">
        <v>4</v>
      </c>
      <c r="D173" t="s">
        <v>6</v>
      </c>
    </row>
    <row r="174" spans="1:4">
      <c r="A174" s="2" t="s">
        <v>5</v>
      </c>
      <c r="B174" s="2">
        <v>22</v>
      </c>
      <c r="C174" s="2">
        <v>1</v>
      </c>
      <c r="D174" t="s">
        <v>7</v>
      </c>
    </row>
    <row r="175" spans="1:4">
      <c r="A175" s="2" t="s">
        <v>5</v>
      </c>
      <c r="B175" s="2">
        <v>22</v>
      </c>
      <c r="C175" s="2">
        <v>2</v>
      </c>
      <c r="D175" t="s">
        <v>9</v>
      </c>
    </row>
    <row r="176" spans="1:4">
      <c r="A176" s="2" t="s">
        <v>5</v>
      </c>
      <c r="B176" s="2">
        <v>22</v>
      </c>
      <c r="C176" s="2">
        <v>3</v>
      </c>
      <c r="D176" t="s">
        <v>9</v>
      </c>
    </row>
    <row r="177" spans="1:4">
      <c r="A177" s="2" t="s">
        <v>5</v>
      </c>
      <c r="B177" s="2">
        <v>23</v>
      </c>
      <c r="C177" s="2">
        <v>1</v>
      </c>
      <c r="D177" t="s">
        <v>7</v>
      </c>
    </row>
    <row r="178" spans="1:4">
      <c r="A178" s="2" t="s">
        <v>5</v>
      </c>
      <c r="B178" s="2">
        <v>23</v>
      </c>
      <c r="C178" s="2">
        <v>2</v>
      </c>
      <c r="D178" t="s">
        <v>8</v>
      </c>
    </row>
    <row r="179" spans="1:4">
      <c r="A179" s="2" t="s">
        <v>5</v>
      </c>
      <c r="B179" s="2">
        <v>23</v>
      </c>
      <c r="C179" s="2">
        <v>3</v>
      </c>
      <c r="D179" t="s">
        <v>7</v>
      </c>
    </row>
    <row r="180" spans="1:4">
      <c r="A180" s="2" t="s">
        <v>5</v>
      </c>
      <c r="B180" s="2">
        <v>24</v>
      </c>
      <c r="C180" s="2">
        <v>1</v>
      </c>
      <c r="D180" t="s">
        <v>8</v>
      </c>
    </row>
    <row r="181" spans="1:4">
      <c r="A181" s="2" t="s">
        <v>5</v>
      </c>
      <c r="B181" s="2">
        <v>24</v>
      </c>
      <c r="C181" s="2">
        <v>2</v>
      </c>
      <c r="D181" t="s">
        <v>6</v>
      </c>
    </row>
    <row r="182" spans="1:4">
      <c r="A182" s="2" t="s">
        <v>5</v>
      </c>
      <c r="B182" s="2">
        <v>24</v>
      </c>
      <c r="C182" s="2">
        <v>3</v>
      </c>
      <c r="D182" t="s">
        <v>6</v>
      </c>
    </row>
    <row r="183" spans="1:4">
      <c r="A183" s="2" t="s">
        <v>5</v>
      </c>
      <c r="B183" s="2">
        <v>25</v>
      </c>
      <c r="C183" s="2">
        <v>1</v>
      </c>
      <c r="D183" t="s">
        <v>6</v>
      </c>
    </row>
    <row r="184" spans="1:4">
      <c r="A184" s="2" t="s">
        <v>5</v>
      </c>
      <c r="B184" s="2">
        <v>25</v>
      </c>
      <c r="C184" s="2">
        <v>2</v>
      </c>
      <c r="D184" t="s">
        <v>6</v>
      </c>
    </row>
    <row r="185" spans="1:4">
      <c r="A185" s="2" t="s">
        <v>5</v>
      </c>
      <c r="B185" s="2">
        <v>25</v>
      </c>
      <c r="C185" s="2">
        <v>3</v>
      </c>
      <c r="D185" t="s">
        <v>6</v>
      </c>
    </row>
    <row r="186" spans="1:4">
      <c r="A186" s="2" t="s">
        <v>5</v>
      </c>
      <c r="B186" s="2">
        <v>26</v>
      </c>
      <c r="C186" s="2">
        <v>1</v>
      </c>
      <c r="D186" t="s">
        <v>6</v>
      </c>
    </row>
    <row r="187" spans="1:4">
      <c r="A187" s="2" t="s">
        <v>5</v>
      </c>
      <c r="B187" s="2">
        <v>26</v>
      </c>
      <c r="C187" s="2">
        <v>2</v>
      </c>
      <c r="D187" t="s">
        <v>8</v>
      </c>
    </row>
    <row r="188" spans="1:4">
      <c r="A188" s="2" t="s">
        <v>5</v>
      </c>
      <c r="B188" s="2">
        <v>26</v>
      </c>
      <c r="C188" s="2">
        <v>3</v>
      </c>
      <c r="D188" t="s">
        <v>9</v>
      </c>
    </row>
    <row r="189" spans="1:4">
      <c r="A189" s="2" t="s">
        <v>5</v>
      </c>
      <c r="B189" s="2">
        <v>27</v>
      </c>
      <c r="C189" s="2">
        <v>1</v>
      </c>
      <c r="D189" t="s">
        <v>8</v>
      </c>
    </row>
    <row r="190" spans="1:4">
      <c r="A190" s="2" t="s">
        <v>5</v>
      </c>
      <c r="B190" s="2">
        <v>27</v>
      </c>
      <c r="C190" s="2">
        <v>2</v>
      </c>
      <c r="D190" t="s">
        <v>7</v>
      </c>
    </row>
    <row r="191" spans="1:4">
      <c r="A191" s="2" t="s">
        <v>5</v>
      </c>
      <c r="B191" s="2">
        <v>27</v>
      </c>
      <c r="C191" s="2">
        <v>3</v>
      </c>
      <c r="D191" t="s">
        <v>9</v>
      </c>
    </row>
    <row r="192" spans="1:4">
      <c r="A192" s="2" t="s">
        <v>5</v>
      </c>
      <c r="B192" s="2">
        <v>28</v>
      </c>
      <c r="C192" s="2">
        <v>1</v>
      </c>
      <c r="D192" t="s">
        <v>6</v>
      </c>
    </row>
    <row r="193" spans="1:4">
      <c r="A193" s="2" t="s">
        <v>5</v>
      </c>
      <c r="B193" s="2">
        <v>28</v>
      </c>
      <c r="C193" s="2">
        <v>2</v>
      </c>
      <c r="D193" t="s">
        <v>6</v>
      </c>
    </row>
    <row r="194" spans="1:4">
      <c r="A194" s="2" t="s">
        <v>5</v>
      </c>
      <c r="B194" s="2">
        <v>28</v>
      </c>
      <c r="C194" s="2">
        <v>3</v>
      </c>
      <c r="D194" t="s">
        <v>6</v>
      </c>
    </row>
    <row r="195" spans="1:4">
      <c r="A195" s="2" t="s">
        <v>5</v>
      </c>
      <c r="B195" s="2">
        <v>29</v>
      </c>
      <c r="C195" s="2">
        <v>1</v>
      </c>
      <c r="D195" t="s">
        <v>8</v>
      </c>
    </row>
    <row r="196" spans="1:4">
      <c r="A196" s="2" t="s">
        <v>5</v>
      </c>
      <c r="B196" s="2">
        <v>29</v>
      </c>
      <c r="C196" s="2">
        <v>2</v>
      </c>
      <c r="D196" t="s">
        <v>6</v>
      </c>
    </row>
    <row r="197" spans="1:4">
      <c r="A197" s="2" t="s">
        <v>5</v>
      </c>
      <c r="B197" s="2">
        <v>29</v>
      </c>
      <c r="C197" s="2">
        <v>3</v>
      </c>
      <c r="D197" t="s">
        <v>6</v>
      </c>
    </row>
    <row r="198" spans="1:4">
      <c r="A198" s="2" t="s">
        <v>5</v>
      </c>
      <c r="B198" s="2">
        <v>30</v>
      </c>
      <c r="C198" s="2">
        <v>1</v>
      </c>
      <c r="D198" t="s">
        <v>6</v>
      </c>
    </row>
    <row r="199" spans="1:4">
      <c r="A199" s="2" t="s">
        <v>5</v>
      </c>
      <c r="B199" s="2">
        <v>30</v>
      </c>
      <c r="C199" s="2">
        <v>2</v>
      </c>
      <c r="D199" t="s">
        <v>8</v>
      </c>
    </row>
    <row r="200" spans="1:4">
      <c r="A200" s="2" t="s">
        <v>5</v>
      </c>
      <c r="B200" s="2">
        <v>30</v>
      </c>
      <c r="C200" s="2">
        <v>3</v>
      </c>
      <c r="D200" t="s">
        <v>8</v>
      </c>
    </row>
    <row r="201" spans="1:4">
      <c r="A201" s="2" t="s">
        <v>5</v>
      </c>
      <c r="B201" s="2">
        <v>31</v>
      </c>
      <c r="C201" s="2">
        <v>1</v>
      </c>
      <c r="D201" t="s">
        <v>6</v>
      </c>
    </row>
    <row r="202" spans="1:4">
      <c r="A202" s="2" t="s">
        <v>5</v>
      </c>
      <c r="B202" s="2">
        <v>31</v>
      </c>
      <c r="C202" s="2">
        <v>2</v>
      </c>
      <c r="D202" t="s">
        <v>7</v>
      </c>
    </row>
    <row r="203" spans="1:4">
      <c r="A203" s="2" t="s">
        <v>5</v>
      </c>
      <c r="B203" s="2">
        <v>31</v>
      </c>
      <c r="C203" s="2">
        <v>3</v>
      </c>
      <c r="D203" t="s">
        <v>9</v>
      </c>
    </row>
    <row r="204" spans="1:4">
      <c r="A204" s="2" t="s">
        <v>5</v>
      </c>
      <c r="B204" s="2">
        <v>32</v>
      </c>
      <c r="C204" s="2">
        <v>1</v>
      </c>
      <c r="D204" t="s">
        <v>10</v>
      </c>
    </row>
    <row r="205" spans="1:4">
      <c r="A205" s="2" t="s">
        <v>5</v>
      </c>
      <c r="B205" s="2">
        <v>32</v>
      </c>
      <c r="C205" s="2">
        <v>2</v>
      </c>
      <c r="D205" t="s">
        <v>8</v>
      </c>
    </row>
    <row r="206" spans="1:4">
      <c r="A206" s="2" t="s">
        <v>5</v>
      </c>
      <c r="B206" s="2">
        <v>32</v>
      </c>
      <c r="C206" s="2">
        <v>3</v>
      </c>
      <c r="D206" t="s">
        <v>7</v>
      </c>
    </row>
    <row r="207" spans="1:4">
      <c r="A207" s="2" t="s">
        <v>5</v>
      </c>
      <c r="B207" s="2">
        <v>33</v>
      </c>
      <c r="C207" s="2">
        <v>1</v>
      </c>
      <c r="D207" t="s">
        <v>7</v>
      </c>
    </row>
    <row r="208" spans="1:4">
      <c r="A208" s="2" t="s">
        <v>5</v>
      </c>
      <c r="B208" s="2">
        <v>33</v>
      </c>
      <c r="C208" s="2">
        <v>2</v>
      </c>
      <c r="D208" t="s">
        <v>7</v>
      </c>
    </row>
    <row r="209" spans="1:4">
      <c r="A209" s="2" t="s">
        <v>5</v>
      </c>
      <c r="B209" s="2">
        <v>33</v>
      </c>
      <c r="C209" s="2">
        <v>3</v>
      </c>
      <c r="D209" t="s">
        <v>6</v>
      </c>
    </row>
    <row r="210" spans="1:4">
      <c r="A210" s="2" t="s">
        <v>5</v>
      </c>
      <c r="B210" s="2">
        <v>34</v>
      </c>
      <c r="C210" s="2">
        <v>1</v>
      </c>
      <c r="D210" t="s">
        <v>7</v>
      </c>
    </row>
    <row r="211" spans="1:4">
      <c r="A211" s="2" t="s">
        <v>5</v>
      </c>
      <c r="B211" s="2">
        <v>34</v>
      </c>
      <c r="C211" s="2">
        <v>2</v>
      </c>
      <c r="D211" t="s">
        <v>6</v>
      </c>
    </row>
    <row r="212" spans="1:4">
      <c r="A212" s="2" t="s">
        <v>5</v>
      </c>
      <c r="B212" s="2">
        <v>34</v>
      </c>
      <c r="C212" s="2">
        <v>3</v>
      </c>
      <c r="D212" t="s">
        <v>6</v>
      </c>
    </row>
    <row r="213" spans="1:4">
      <c r="A213" s="2" t="s">
        <v>5</v>
      </c>
      <c r="B213" s="2">
        <v>35</v>
      </c>
      <c r="C213" s="2">
        <v>1</v>
      </c>
      <c r="D213" t="s">
        <v>7</v>
      </c>
    </row>
    <row r="214" spans="1:4">
      <c r="A214" s="2" t="s">
        <v>5</v>
      </c>
      <c r="B214" s="2">
        <v>35</v>
      </c>
      <c r="C214" s="2">
        <v>2</v>
      </c>
      <c r="D214" t="s">
        <v>7</v>
      </c>
    </row>
    <row r="215" spans="1:4">
      <c r="A215" s="2" t="s">
        <v>5</v>
      </c>
      <c r="B215" s="2">
        <v>35</v>
      </c>
      <c r="C215" s="2">
        <v>3</v>
      </c>
      <c r="D215" t="s">
        <v>8</v>
      </c>
    </row>
    <row r="216" spans="1:4">
      <c r="A216" s="2" t="s">
        <v>5</v>
      </c>
      <c r="B216" s="2">
        <v>36</v>
      </c>
      <c r="C216" s="2">
        <v>1</v>
      </c>
      <c r="D216" t="s">
        <v>9</v>
      </c>
    </row>
    <row r="217" spans="1:4">
      <c r="A217" s="2" t="s">
        <v>5</v>
      </c>
      <c r="B217" s="2">
        <v>36</v>
      </c>
      <c r="C217" s="2">
        <v>2</v>
      </c>
      <c r="D217" t="s">
        <v>9</v>
      </c>
    </row>
    <row r="218" spans="1:4">
      <c r="A218" s="2" t="s">
        <v>5</v>
      </c>
      <c r="B218" s="2">
        <v>36</v>
      </c>
      <c r="C218" s="2">
        <v>3</v>
      </c>
      <c r="D218" t="s">
        <v>7</v>
      </c>
    </row>
  </sheetData>
  <phoneticPr fontId="2" type="noConversion"/>
  <dataValidations count="1">
    <dataValidation type="list" allowBlank="1" errorTitle="Invalid genotype" error="Please choose from the dropdown list." promptTitle="Genotype entry" prompt="Select a genotype" sqref="D2:D218" xr:uid="{00000000-0002-0000-0000-000000000000}">
      <formula1>"100/100,100/400,400/400,Unclear"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4C2E-F1B4-9041-B880-C1A304247159}">
  <dimension ref="A1:G3"/>
  <sheetViews>
    <sheetView zoomScale="232" workbookViewId="0">
      <selection activeCell="D3" sqref="D3"/>
    </sheetView>
  </sheetViews>
  <sheetFormatPr baseColWidth="10" defaultRowHeight="14"/>
  <sheetData>
    <row r="1" spans="1:7">
      <c r="A1" s="7"/>
      <c r="B1" s="7" t="s">
        <v>19</v>
      </c>
      <c r="C1" s="8" t="s">
        <v>20</v>
      </c>
      <c r="D1" s="8" t="s">
        <v>21</v>
      </c>
      <c r="E1" s="9" t="s">
        <v>14</v>
      </c>
      <c r="F1" s="8" t="s">
        <v>15</v>
      </c>
      <c r="G1" s="7" t="s">
        <v>13</v>
      </c>
    </row>
    <row r="2" spans="1:7">
      <c r="A2" s="7" t="s">
        <v>11</v>
      </c>
      <c r="B2" s="4">
        <f>(Calculations!B3)^2 * Calculations!B1</f>
        <v>40.085078534031418</v>
      </c>
      <c r="C2" s="4">
        <f>(2 * Calculations!B3 * Calculations!B4) * Calculations!B1</f>
        <v>94.829842931937179</v>
      </c>
      <c r="D2" s="3">
        <f>(Calculations!B4)^2 * Calculations!B1</f>
        <v>56.085078534031425</v>
      </c>
      <c r="E2" s="4" t="s">
        <v>18</v>
      </c>
      <c r="F2" s="4">
        <f>F3</f>
        <v>191</v>
      </c>
      <c r="G2" s="4" t="s">
        <v>18</v>
      </c>
    </row>
    <row r="3" spans="1:7">
      <c r="A3" s="7" t="s">
        <v>12</v>
      </c>
      <c r="B3" s="6">
        <f>COUNTIF(Statistics!D:D,"100/100")</f>
        <v>43</v>
      </c>
      <c r="C3" s="6">
        <f>COUNTIF(Statistics!D:D,"100/400")</f>
        <v>89</v>
      </c>
      <c r="D3" s="5">
        <f>COUNTIF(Statistics!D:D,"400/400")</f>
        <v>59</v>
      </c>
      <c r="E3" s="6">
        <f>COUNTIF(Statistics!D:D,"Unclear")</f>
        <v>26</v>
      </c>
      <c r="F3" s="6">
        <f>SUM(B3:D3)</f>
        <v>191</v>
      </c>
      <c r="G3" s="6">
        <f>SUM(B3:E3)</f>
        <v>217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F906-0DD7-5940-8741-7F8F0337B83C}">
  <dimension ref="A1:B10"/>
  <sheetViews>
    <sheetView tabSelected="1" zoomScale="267" workbookViewId="0">
      <selection activeCell="B4" sqref="B4"/>
    </sheetView>
  </sheetViews>
  <sheetFormatPr baseColWidth="10" defaultRowHeight="14"/>
  <cols>
    <col min="1" max="1" width="31" customWidth="1"/>
  </cols>
  <sheetData>
    <row r="1" spans="1:2">
      <c r="A1" s="7" t="s">
        <v>16</v>
      </c>
      <c r="B1" s="6">
        <f>Summary!F3</f>
        <v>191</v>
      </c>
    </row>
    <row r="2" spans="1:2">
      <c r="A2" s="7"/>
      <c r="B2" s="6"/>
    </row>
    <row r="3" spans="1:2">
      <c r="A3" s="7" t="s">
        <v>22</v>
      </c>
      <c r="B3" s="6">
        <f>((2 * Summary!B3) + (1 * Summary!C3) ) / (2 * Calculations!B1)</f>
        <v>0.45811518324607331</v>
      </c>
    </row>
    <row r="4" spans="1:2">
      <c r="A4" s="7" t="s">
        <v>23</v>
      </c>
      <c r="B4" s="6">
        <f>((2 * Summary!D3) + (1 * Summary!C3) ) / (2 * Calculations!B1)</f>
        <v>0.54188481675392675</v>
      </c>
    </row>
    <row r="5" spans="1:2">
      <c r="A5" s="7" t="s">
        <v>17</v>
      </c>
      <c r="B5" s="6">
        <f>SUM(B3:B4)</f>
        <v>1</v>
      </c>
    </row>
    <row r="6" spans="1:2">
      <c r="A6" s="7"/>
      <c r="B6" s="6"/>
    </row>
    <row r="7" spans="1:2">
      <c r="A7" s="7" t="s">
        <v>24</v>
      </c>
      <c r="B7" s="6">
        <f>(Calculations!B3)^2</f>
        <v>0.20986952112058332</v>
      </c>
    </row>
    <row r="8" spans="1:2">
      <c r="A8" s="7" t="s">
        <v>27</v>
      </c>
      <c r="B8" s="6">
        <f>(2 * Calculations!B3 * Calculations!B4)</f>
        <v>0.49649132425098003</v>
      </c>
    </row>
    <row r="9" spans="1:2">
      <c r="A9" s="7" t="s">
        <v>25</v>
      </c>
      <c r="B9" s="6">
        <f>(Calculations!B4)^2</f>
        <v>0.29363915462843676</v>
      </c>
    </row>
    <row r="10" spans="1:2">
      <c r="A10" s="10" t="s">
        <v>26</v>
      </c>
      <c r="B10" s="6">
        <f>SUM(B7:B9)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Statistics</vt:lpstr>
      <vt:lpstr>Summary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yw x</cp:lastModifiedBy>
  <dcterms:created xsi:type="dcterms:W3CDTF">2026-03-14T06:51:00Z</dcterms:created>
  <dcterms:modified xsi:type="dcterms:W3CDTF">2026-10-03T07:04:52Z</dcterms:modified>
</cp:coreProperties>
</file>